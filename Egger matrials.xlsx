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375" documentId="11_E60897F41BE170836B02CE998F75CCDC64E183C8" xr6:coauthVersionLast="47" xr6:coauthVersionMax="47" xr10:uidLastSave="{5575B9B2-9397-413D-A5A9-893B0E2850E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H32" i="1"/>
  <c r="H33" i="1"/>
  <c r="H34" i="1"/>
  <c r="H35" i="1"/>
  <c r="K35" i="1" s="1"/>
  <c r="H30" i="1"/>
  <c r="K30" i="1" s="1"/>
  <c r="J30" i="1" s="1"/>
  <c r="H29" i="1"/>
  <c r="K29" i="1" s="1"/>
  <c r="J29" i="1" s="1"/>
  <c r="H28" i="1"/>
  <c r="K28" i="1" s="1"/>
  <c r="J28" i="1" s="1"/>
  <c r="H27" i="1"/>
  <c r="K27" i="1" s="1"/>
  <c r="J27" i="1" s="1"/>
  <c r="H26" i="1"/>
  <c r="K26" i="1" s="1"/>
  <c r="J26" i="1" s="1"/>
  <c r="H25" i="1"/>
  <c r="K25" i="1" s="1"/>
  <c r="J25" i="1" s="1"/>
  <c r="H24" i="1"/>
  <c r="K24" i="1" s="1"/>
  <c r="H23" i="1"/>
  <c r="K23" i="1" s="1"/>
  <c r="J23" i="1" s="1"/>
  <c r="H22" i="1"/>
  <c r="K22" i="1" s="1"/>
  <c r="J22" i="1" s="1"/>
  <c r="H21" i="1"/>
  <c r="K21" i="1" s="1"/>
  <c r="H20" i="1"/>
  <c r="K20" i="1" s="1"/>
  <c r="H19" i="1"/>
  <c r="J19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  <c r="K16" i="1"/>
  <c r="J16" i="1"/>
  <c r="J20" i="1" l="1"/>
  <c r="J31" i="1" s="1"/>
  <c r="K31" i="1"/>
  <c r="J21" i="1"/>
  <c r="J33" i="1" s="1"/>
  <c r="K33" i="1"/>
  <c r="J24" i="1"/>
  <c r="J32" i="1" s="1"/>
  <c r="K32" i="1"/>
  <c r="J35" i="1"/>
  <c r="K34" i="1"/>
  <c r="J34" i="1" s="1"/>
  <c r="K19" i="1"/>
  <c r="K2" i="1"/>
  <c r="J2" i="1"/>
  <c r="K7" i="1"/>
  <c r="J7" i="1"/>
  <c r="K6" i="1"/>
  <c r="J6" i="1"/>
  <c r="K5" i="1"/>
  <c r="J5" i="1"/>
  <c r="K4" i="1"/>
  <c r="J4" i="1"/>
  <c r="K3" i="1"/>
  <c r="J3" i="1"/>
  <c r="K10" i="1"/>
  <c r="J10" i="1"/>
  <c r="K11" i="1"/>
  <c r="J11" i="1"/>
  <c r="K13" i="1"/>
  <c r="J13" i="1"/>
  <c r="K12" i="1"/>
  <c r="J12" i="1"/>
  <c r="K15" i="1"/>
  <c r="J15" i="1"/>
  <c r="K14" i="1"/>
  <c r="J14" i="1"/>
  <c r="K18" i="1"/>
  <c r="J18" i="1"/>
  <c r="K17" i="1"/>
  <c r="J17" i="1"/>
  <c r="K8" i="1"/>
  <c r="J8" i="1"/>
  <c r="K9" i="1"/>
  <c r="J9" i="1"/>
</calcChain>
</file>

<file path=xl/sharedStrings.xml><?xml version="1.0" encoding="utf-8"?>
<sst xmlns="http://schemas.openxmlformats.org/spreadsheetml/2006/main" count="163" uniqueCount="69">
  <si>
    <t>index</t>
  </si>
  <si>
    <t>Name</t>
  </si>
  <si>
    <t>Type</t>
  </si>
  <si>
    <t>Embossing</t>
  </si>
  <si>
    <t>Code</t>
  </si>
  <si>
    <t>Surface</t>
  </si>
  <si>
    <t>Full name</t>
  </si>
  <si>
    <t>Repository links</t>
  </si>
  <si>
    <t>Full texture link</t>
  </si>
  <si>
    <t>Thumb link</t>
  </si>
  <si>
    <t>Brown Kansas Oak</t>
  </si>
  <si>
    <t>0</t>
  </si>
  <si>
    <t>H</t>
  </si>
  <si>
    <t>1113</t>
  </si>
  <si>
    <t>PAL</t>
  </si>
  <si>
    <t>ST10</t>
  </si>
  <si>
    <t>https://cdn.artcharm.md/imagini/texturi/pal/</t>
  </si>
  <si>
    <t>Natural Sheffield Acacia</t>
  </si>
  <si>
    <t>1242</t>
  </si>
  <si>
    <t>https://cdn.artcharm.md/imagini/butontextura/pal/</t>
  </si>
  <si>
    <t>Truffle Brown Denver Oak</t>
  </si>
  <si>
    <t>1399</t>
  </si>
  <si>
    <t>Parona Walnut</t>
  </si>
  <si>
    <t>1715</t>
  </si>
  <si>
    <t>ST12</t>
  </si>
  <si>
    <t>Natural Tonsberg Oak</t>
  </si>
  <si>
    <t>305</t>
  </si>
  <si>
    <t>Brown Tonsberg Oak</t>
  </si>
  <si>
    <t>309</t>
  </si>
  <si>
    <t>Truffle Brown Davos Oak</t>
  </si>
  <si>
    <t>3133</t>
  </si>
  <si>
    <t>Natural Kendal Oak</t>
  </si>
  <si>
    <t>3170</t>
  </si>
  <si>
    <t>Natural Hickory</t>
  </si>
  <si>
    <t>Vicenza Oak</t>
  </si>
  <si>
    <t>Crystal Marble</t>
  </si>
  <si>
    <t>F</t>
  </si>
  <si>
    <t>ST9</t>
  </si>
  <si>
    <t>Black Pietra Grigia</t>
  </si>
  <si>
    <t>Light Grey Chicago Concrete</t>
  </si>
  <si>
    <t>Dark Grey Chicago Concrete</t>
  </si>
  <si>
    <t>Brown Warmia Walnut</t>
  </si>
  <si>
    <t>307</t>
  </si>
  <si>
    <t>Natural Carini Walnut</t>
  </si>
  <si>
    <t>Natural Pacific Walnut</t>
  </si>
  <si>
    <t>Grey Corbridge Oak</t>
  </si>
  <si>
    <t>Alpine White</t>
  </si>
  <si>
    <t>W</t>
  </si>
  <si>
    <t>Sand Beige</t>
  </si>
  <si>
    <t>U</t>
  </si>
  <si>
    <t>Cashmere Grey</t>
  </si>
  <si>
    <t>Stone Grey</t>
  </si>
  <si>
    <t>Pearl Grey</t>
  </si>
  <si>
    <t>Dust Grey</t>
  </si>
  <si>
    <t>Onyx Grey</t>
  </si>
  <si>
    <t>Cubanit Grey</t>
  </si>
  <si>
    <t>Fjord Green</t>
  </si>
  <si>
    <t>636</t>
  </si>
  <si>
    <t>Monument Grey</t>
  </si>
  <si>
    <t>780</t>
  </si>
  <si>
    <t>Antique Rose</t>
  </si>
  <si>
    <t>325</t>
  </si>
  <si>
    <t>Alb</t>
  </si>
  <si>
    <t>2</t>
  </si>
  <si>
    <t>I</t>
  </si>
  <si>
    <t>Gri rece</t>
  </si>
  <si>
    <t>Satin</t>
  </si>
  <si>
    <t>Basalt</t>
  </si>
  <si>
    <t>Soft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</si>
</sst>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1"/>
    <xf numFmtId="0" fontId="0" fillId="0" borderId="0" xfId="0" applyNumberForma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dn.artcharm.md/imagini/butontextura/pal/" TargetMode="External"/><Relationship Id="rId1" Type="http://schemas.openxmlformats.org/officeDocument/2006/relationships/hyperlink" Target="https://cdn.artcharm.md/imagini/texturi/p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workbookViewId="0">
      <selection activeCell="C2" sqref="C2:C35"/>
    </sheetView>
  </sheetViews>
  <sheetFormatPr defaultRowHeight="15"/>
  <cols>
    <col min="2" max="2" width="33.42578125" customWidth="1"/>
    <col min="3" max="3" width="22.42578125" customWidth="1"/>
    <col min="4" max="4" width="17.5703125" customWidth="1"/>
    <col min="5" max="5" width="19.5703125" customWidth="1"/>
    <col min="7" max="7" width="13" customWidth="1"/>
    <col min="8" max="8" width="39.42578125" customWidth="1"/>
    <col min="9" max="9" width="50.28515625" customWidth="1"/>
    <col min="10" max="10" width="72.42578125" customWidth="1"/>
    <col min="11" max="11" width="96" style="1" customWidth="1"/>
    <col min="12" max="12" width="51.85546875" customWidth="1"/>
  </cols>
  <sheetData>
    <row r="1" spans="1:1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t="s">
        <v>6</v>
      </c>
      <c r="I1" t="s">
        <v>7</v>
      </c>
      <c r="J1" t="s">
        <v>8</v>
      </c>
      <c r="K1" s="1" t="s">
        <v>9</v>
      </c>
    </row>
    <row r="2" spans="1:12">
      <c r="A2">
        <v>0</v>
      </c>
      <c r="B2" s="1" t="s">
        <v>10</v>
      </c>
      <c r="C2" s="4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t="str">
        <f>F2&amp; "_" &amp; D2 &amp; E2&amp; "_" &amp; G2</f>
        <v>PAL_H1113_ST10</v>
      </c>
      <c r="I2" s="3" t="s">
        <v>16</v>
      </c>
      <c r="J2" t="str">
        <f>$I$2&amp; H2&amp; ".jpg"</f>
        <v>https://cdn.artcharm.md/imagini/texturi/pal/PAL_H1113_ST10.jpg</v>
      </c>
      <c r="K2" s="1" t="str">
        <f>$I$3&amp; H2&amp; "_thumb.jpg"</f>
        <v>https://cdn.artcharm.md/imagini/butontextura/pal/PAL_H1113_ST10_thumb.jpg</v>
      </c>
      <c r="L2" s="1"/>
    </row>
    <row r="3" spans="1:12">
      <c r="A3">
        <v>1</v>
      </c>
      <c r="B3" s="1" t="s">
        <v>17</v>
      </c>
      <c r="C3" s="4" t="s">
        <v>11</v>
      </c>
      <c r="D3" s="1" t="s">
        <v>12</v>
      </c>
      <c r="E3" s="1" t="s">
        <v>18</v>
      </c>
      <c r="F3" s="1" t="s">
        <v>14</v>
      </c>
      <c r="G3" s="1" t="s">
        <v>15</v>
      </c>
      <c r="H3" t="str">
        <f t="shared" ref="H3:H35" si="0">F3&amp; "_" &amp; D3 &amp; E3&amp; "_" &amp; G3</f>
        <v>PAL_H1242_ST10</v>
      </c>
      <c r="I3" s="3" t="s">
        <v>19</v>
      </c>
      <c r="J3" t="str">
        <f t="shared" ref="J3:J30" si="1">$I$2&amp; H3&amp; ".jpg"</f>
        <v>https://cdn.artcharm.md/imagini/texturi/pal/PAL_H1242_ST10.jpg</v>
      </c>
      <c r="K3" s="1" t="str">
        <f t="shared" ref="K3:K37" si="2">$I$3&amp; H3&amp; "_thumb.jpg"</f>
        <v>https://cdn.artcharm.md/imagini/butontextura/pal/PAL_H1242_ST10_thumb.jpg</v>
      </c>
    </row>
    <row r="4" spans="1:12">
      <c r="A4">
        <v>2</v>
      </c>
      <c r="B4" s="1" t="s">
        <v>20</v>
      </c>
      <c r="C4" s="4" t="s">
        <v>11</v>
      </c>
      <c r="D4" s="1" t="s">
        <v>12</v>
      </c>
      <c r="E4" s="1" t="s">
        <v>21</v>
      </c>
      <c r="F4" s="1" t="s">
        <v>14</v>
      </c>
      <c r="G4" s="1" t="s">
        <v>15</v>
      </c>
      <c r="H4" t="str">
        <f t="shared" si="0"/>
        <v>PAL_H1399_ST10</v>
      </c>
      <c r="J4" t="str">
        <f t="shared" si="1"/>
        <v>https://cdn.artcharm.md/imagini/texturi/pal/PAL_H1399_ST10.jpg</v>
      </c>
      <c r="K4" s="1" t="str">
        <f t="shared" si="2"/>
        <v>https://cdn.artcharm.md/imagini/butontextura/pal/PAL_H1399_ST10_thumb.jpg</v>
      </c>
    </row>
    <row r="5" spans="1:12">
      <c r="A5">
        <v>3</v>
      </c>
      <c r="B5" s="1" t="s">
        <v>22</v>
      </c>
      <c r="C5" s="4" t="s">
        <v>11</v>
      </c>
      <c r="D5" s="1" t="s">
        <v>12</v>
      </c>
      <c r="E5" s="1" t="s">
        <v>23</v>
      </c>
      <c r="F5" s="1" t="s">
        <v>14</v>
      </c>
      <c r="G5" s="1" t="s">
        <v>24</v>
      </c>
      <c r="H5" t="str">
        <f t="shared" si="0"/>
        <v>PAL_H1715_ST12</v>
      </c>
      <c r="J5" t="str">
        <f t="shared" si="1"/>
        <v>https://cdn.artcharm.md/imagini/texturi/pal/PAL_H1715_ST12.jpg</v>
      </c>
      <c r="K5" s="1" t="str">
        <f t="shared" si="2"/>
        <v>https://cdn.artcharm.md/imagini/butontextura/pal/PAL_H1715_ST12_thumb.jpg</v>
      </c>
    </row>
    <row r="6" spans="1:12">
      <c r="A6">
        <v>4</v>
      </c>
      <c r="B6" s="1" t="s">
        <v>25</v>
      </c>
      <c r="C6" s="4" t="s">
        <v>11</v>
      </c>
      <c r="D6" s="1" t="s">
        <v>12</v>
      </c>
      <c r="E6" s="1" t="s">
        <v>26</v>
      </c>
      <c r="F6" s="1" t="s">
        <v>14</v>
      </c>
      <c r="G6" s="1" t="s">
        <v>24</v>
      </c>
      <c r="H6" t="str">
        <f t="shared" si="0"/>
        <v>PAL_H305_ST12</v>
      </c>
      <c r="J6" t="str">
        <f t="shared" si="1"/>
        <v>https://cdn.artcharm.md/imagini/texturi/pal/PAL_H305_ST12.jpg</v>
      </c>
      <c r="K6" s="1" t="str">
        <f t="shared" si="2"/>
        <v>https://cdn.artcharm.md/imagini/butontextura/pal/PAL_H305_ST12_thumb.jpg</v>
      </c>
    </row>
    <row r="7" spans="1:12">
      <c r="A7">
        <v>5</v>
      </c>
      <c r="B7" s="1" t="s">
        <v>27</v>
      </c>
      <c r="C7" s="4" t="s">
        <v>11</v>
      </c>
      <c r="D7" s="1" t="s">
        <v>12</v>
      </c>
      <c r="E7" s="1" t="s">
        <v>28</v>
      </c>
      <c r="F7" s="1" t="s">
        <v>14</v>
      </c>
      <c r="G7" s="1" t="s">
        <v>24</v>
      </c>
      <c r="H7" t="str">
        <f t="shared" si="0"/>
        <v>PAL_H309_ST12</v>
      </c>
      <c r="J7" t="str">
        <f t="shared" si="1"/>
        <v>https://cdn.artcharm.md/imagini/texturi/pal/PAL_H309_ST12.jpg</v>
      </c>
      <c r="K7" s="1" t="str">
        <f t="shared" si="2"/>
        <v>https://cdn.artcharm.md/imagini/butontextura/pal/PAL_H309_ST12_thumb.jpg</v>
      </c>
    </row>
    <row r="8" spans="1:12">
      <c r="A8">
        <v>6</v>
      </c>
      <c r="B8" s="1" t="s">
        <v>29</v>
      </c>
      <c r="C8" s="4" t="s">
        <v>11</v>
      </c>
      <c r="D8" s="1" t="s">
        <v>12</v>
      </c>
      <c r="E8" s="1" t="s">
        <v>30</v>
      </c>
      <c r="F8" s="1" t="s">
        <v>14</v>
      </c>
      <c r="G8" s="1" t="s">
        <v>24</v>
      </c>
      <c r="H8" t="str">
        <f t="shared" si="0"/>
        <v>PAL_H3133_ST12</v>
      </c>
      <c r="J8" t="str">
        <f t="shared" si="1"/>
        <v>https://cdn.artcharm.md/imagini/texturi/pal/PAL_H3133_ST12.jpg</v>
      </c>
      <c r="K8" s="1" t="str">
        <f t="shared" si="2"/>
        <v>https://cdn.artcharm.md/imagini/butontextura/pal/PAL_H3133_ST12_thumb.jpg</v>
      </c>
    </row>
    <row r="9" spans="1:12">
      <c r="A9">
        <v>7</v>
      </c>
      <c r="B9" s="1" t="s">
        <v>31</v>
      </c>
      <c r="C9" s="4" t="s">
        <v>11</v>
      </c>
      <c r="D9" s="1" t="s">
        <v>12</v>
      </c>
      <c r="E9" s="1" t="s">
        <v>32</v>
      </c>
      <c r="F9" s="1" t="s">
        <v>14</v>
      </c>
      <c r="G9" s="1" t="s">
        <v>24</v>
      </c>
      <c r="H9" t="str">
        <f t="shared" si="0"/>
        <v>PAL_H3170_ST12</v>
      </c>
      <c r="J9" t="str">
        <f t="shared" si="1"/>
        <v>https://cdn.artcharm.md/imagini/texturi/pal/PAL_H3170_ST12.jpg</v>
      </c>
      <c r="K9" s="1" t="str">
        <f t="shared" si="2"/>
        <v>https://cdn.artcharm.md/imagini/butontextura/pal/PAL_H3170_ST12_thumb.jpg</v>
      </c>
    </row>
    <row r="10" spans="1:12">
      <c r="A10">
        <v>8</v>
      </c>
      <c r="B10" t="s">
        <v>33</v>
      </c>
      <c r="C10" s="4">
        <v>0</v>
      </c>
      <c r="D10" s="1" t="s">
        <v>12</v>
      </c>
      <c r="E10" s="1">
        <v>3730</v>
      </c>
      <c r="F10" s="1" t="s">
        <v>14</v>
      </c>
      <c r="G10" s="2" t="s">
        <v>15</v>
      </c>
      <c r="H10" t="str">
        <f t="shared" si="0"/>
        <v>PAL_H3730_ST10</v>
      </c>
      <c r="J10" t="str">
        <f t="shared" si="1"/>
        <v>https://cdn.artcharm.md/imagini/texturi/pal/PAL_H3730_ST10.jpg</v>
      </c>
      <c r="K10" s="1" t="str">
        <f t="shared" si="2"/>
        <v>https://cdn.artcharm.md/imagini/butontextura/pal/PAL_H3730_ST10_thumb.jpg</v>
      </c>
    </row>
    <row r="11" spans="1:12">
      <c r="A11">
        <v>9</v>
      </c>
      <c r="B11" t="s">
        <v>34</v>
      </c>
      <c r="C11" s="4">
        <v>0</v>
      </c>
      <c r="D11" s="1" t="s">
        <v>12</v>
      </c>
      <c r="E11" s="1">
        <v>3157</v>
      </c>
      <c r="F11" s="1" t="s">
        <v>14</v>
      </c>
      <c r="G11" t="s">
        <v>24</v>
      </c>
      <c r="H11" t="str">
        <f t="shared" si="0"/>
        <v>PAL_H3157_ST12</v>
      </c>
      <c r="J11" t="str">
        <f t="shared" si="1"/>
        <v>https://cdn.artcharm.md/imagini/texturi/pal/PAL_H3157_ST12.jpg</v>
      </c>
      <c r="K11" s="1" t="str">
        <f t="shared" si="2"/>
        <v>https://cdn.artcharm.md/imagini/butontextura/pal/PAL_H3157_ST12_thumb.jpg</v>
      </c>
    </row>
    <row r="12" spans="1:12">
      <c r="A12">
        <v>10</v>
      </c>
      <c r="B12" t="s">
        <v>35</v>
      </c>
      <c r="C12" s="4">
        <v>0</v>
      </c>
      <c r="D12" t="s">
        <v>36</v>
      </c>
      <c r="E12" s="1">
        <v>800</v>
      </c>
      <c r="F12" s="1" t="s">
        <v>14</v>
      </c>
      <c r="G12" t="s">
        <v>37</v>
      </c>
      <c r="H12" t="str">
        <f t="shared" si="0"/>
        <v>PAL_F800_ST9</v>
      </c>
      <c r="J12" t="str">
        <f t="shared" si="1"/>
        <v>https://cdn.artcharm.md/imagini/texturi/pal/PAL_F800_ST9.jpg</v>
      </c>
      <c r="K12" s="1" t="str">
        <f t="shared" si="2"/>
        <v>https://cdn.artcharm.md/imagini/butontextura/pal/PAL_F800_ST9_thumb.jpg</v>
      </c>
    </row>
    <row r="13" spans="1:12">
      <c r="A13">
        <v>11</v>
      </c>
      <c r="B13" t="s">
        <v>38</v>
      </c>
      <c r="C13" s="4">
        <v>0</v>
      </c>
      <c r="D13" t="s">
        <v>36</v>
      </c>
      <c r="E13" s="1">
        <v>206</v>
      </c>
      <c r="F13" s="1" t="s">
        <v>14</v>
      </c>
      <c r="G13" t="s">
        <v>37</v>
      </c>
      <c r="H13" t="str">
        <f t="shared" si="0"/>
        <v>PAL_F206_ST9</v>
      </c>
      <c r="J13" t="str">
        <f t="shared" si="1"/>
        <v>https://cdn.artcharm.md/imagini/texturi/pal/PAL_F206_ST9.jpg</v>
      </c>
      <c r="K13" s="1" t="str">
        <f t="shared" si="2"/>
        <v>https://cdn.artcharm.md/imagini/butontextura/pal/PAL_F206_ST9_thumb.jpg</v>
      </c>
    </row>
    <row r="14" spans="1:12">
      <c r="A14">
        <v>12</v>
      </c>
      <c r="B14" t="s">
        <v>39</v>
      </c>
      <c r="C14" s="4">
        <v>0</v>
      </c>
      <c r="D14" t="s">
        <v>36</v>
      </c>
      <c r="E14" s="1">
        <v>186</v>
      </c>
      <c r="F14" s="1" t="s">
        <v>14</v>
      </c>
      <c r="G14" t="s">
        <v>37</v>
      </c>
      <c r="H14" t="str">
        <f t="shared" si="0"/>
        <v>PAL_F186_ST9</v>
      </c>
      <c r="J14" t="str">
        <f t="shared" si="1"/>
        <v>https://cdn.artcharm.md/imagini/texturi/pal/PAL_F186_ST9.jpg</v>
      </c>
      <c r="K14" s="1" t="str">
        <f t="shared" si="2"/>
        <v>https://cdn.artcharm.md/imagini/butontextura/pal/PAL_F186_ST9_thumb.jpg</v>
      </c>
    </row>
    <row r="15" spans="1:12">
      <c r="A15">
        <v>13</v>
      </c>
      <c r="B15" t="s">
        <v>40</v>
      </c>
      <c r="C15" s="4">
        <v>0</v>
      </c>
      <c r="D15" t="s">
        <v>36</v>
      </c>
      <c r="E15" s="1">
        <v>187</v>
      </c>
      <c r="F15" s="1" t="s">
        <v>14</v>
      </c>
      <c r="G15" t="s">
        <v>37</v>
      </c>
      <c r="H15" t="str">
        <f t="shared" si="0"/>
        <v>PAL_F187_ST9</v>
      </c>
      <c r="J15" t="str">
        <f t="shared" si="1"/>
        <v>https://cdn.artcharm.md/imagini/texturi/pal/PAL_F187_ST9.jpg</v>
      </c>
      <c r="K15" s="1" t="str">
        <f t="shared" si="2"/>
        <v>https://cdn.artcharm.md/imagini/butontextura/pal/PAL_F187_ST9_thumb.jpg</v>
      </c>
    </row>
    <row r="16" spans="1:12">
      <c r="A16">
        <v>14</v>
      </c>
      <c r="B16" t="s">
        <v>41</v>
      </c>
      <c r="C16" s="4">
        <v>0</v>
      </c>
      <c r="D16" t="s">
        <v>12</v>
      </c>
      <c r="E16" s="1" t="s">
        <v>42</v>
      </c>
      <c r="F16" s="1" t="s">
        <v>14</v>
      </c>
      <c r="G16" t="s">
        <v>24</v>
      </c>
      <c r="H16" t="str">
        <f t="shared" si="0"/>
        <v>PAL_H307_ST12</v>
      </c>
      <c r="J16" t="str">
        <f t="shared" si="1"/>
        <v>https://cdn.artcharm.md/imagini/texturi/pal/PAL_H307_ST12.jpg</v>
      </c>
      <c r="K16" s="1" t="str">
        <f t="shared" si="2"/>
        <v>https://cdn.artcharm.md/imagini/butontextura/pal/PAL_H307_ST12_thumb.jpg</v>
      </c>
    </row>
    <row r="17" spans="1:11">
      <c r="A17">
        <v>15</v>
      </c>
      <c r="B17" t="s">
        <v>43</v>
      </c>
      <c r="C17" s="4">
        <v>0</v>
      </c>
      <c r="D17" t="s">
        <v>12</v>
      </c>
      <c r="E17" s="1">
        <v>3710</v>
      </c>
      <c r="F17" s="1" t="s">
        <v>14</v>
      </c>
      <c r="G17" t="s">
        <v>24</v>
      </c>
      <c r="H17" t="str">
        <f t="shared" si="0"/>
        <v>PAL_H3710_ST12</v>
      </c>
      <c r="J17" t="str">
        <f t="shared" si="1"/>
        <v>https://cdn.artcharm.md/imagini/texturi/pal/PAL_H3710_ST12.jpg</v>
      </c>
      <c r="K17" s="1" t="str">
        <f t="shared" si="2"/>
        <v>https://cdn.artcharm.md/imagini/butontextura/pal/PAL_H3710_ST12_thumb.jpg</v>
      </c>
    </row>
    <row r="18" spans="1:11">
      <c r="A18">
        <v>16</v>
      </c>
      <c r="B18" t="s">
        <v>44</v>
      </c>
      <c r="C18" s="4">
        <v>0</v>
      </c>
      <c r="D18" t="s">
        <v>12</v>
      </c>
      <c r="E18" s="1">
        <v>3700</v>
      </c>
      <c r="F18" s="1" t="s">
        <v>14</v>
      </c>
      <c r="G18" t="s">
        <v>15</v>
      </c>
      <c r="H18" t="str">
        <f t="shared" si="0"/>
        <v>PAL_H3700_ST10</v>
      </c>
      <c r="J18" t="str">
        <f t="shared" si="1"/>
        <v>https://cdn.artcharm.md/imagini/texturi/pal/PAL_H3700_ST10.jpg</v>
      </c>
      <c r="K18" s="1" t="str">
        <f t="shared" si="2"/>
        <v>https://cdn.artcharm.md/imagini/butontextura/pal/PAL_H3700_ST10_thumb.jpg</v>
      </c>
    </row>
    <row r="19" spans="1:11" s="1" customFormat="1">
      <c r="A19">
        <v>17</v>
      </c>
      <c r="B19" s="1" t="s">
        <v>45</v>
      </c>
      <c r="C19" s="4" t="s">
        <v>11</v>
      </c>
      <c r="D19" s="1" t="s">
        <v>12</v>
      </c>
      <c r="E19" s="1">
        <v>3156</v>
      </c>
      <c r="F19" s="1" t="s">
        <v>14</v>
      </c>
      <c r="G19" s="1" t="s">
        <v>24</v>
      </c>
      <c r="H19" s="1" t="str">
        <f t="shared" si="0"/>
        <v>PAL_H3156_ST12</v>
      </c>
      <c r="J19" s="1" t="str">
        <f t="shared" si="1"/>
        <v>https://cdn.artcharm.md/imagini/texturi/pal/PAL_H3156_ST12.jpg</v>
      </c>
      <c r="K19" s="1" t="str">
        <f t="shared" si="2"/>
        <v>https://cdn.artcharm.md/imagini/butontextura/pal/PAL_H3156_ST12_thumb.jpg</v>
      </c>
    </row>
    <row r="20" spans="1:11">
      <c r="A20">
        <v>18</v>
      </c>
      <c r="B20" t="s">
        <v>46</v>
      </c>
      <c r="C20" s="4">
        <v>1</v>
      </c>
      <c r="D20" t="s">
        <v>47</v>
      </c>
      <c r="E20" s="1">
        <v>1100</v>
      </c>
      <c r="F20" s="1" t="s">
        <v>14</v>
      </c>
      <c r="G20" t="s">
        <v>37</v>
      </c>
      <c r="H20" s="1" t="str">
        <f t="shared" si="0"/>
        <v>PAL_W1100_ST9</v>
      </c>
      <c r="J20" s="1" t="str">
        <f>K20</f>
        <v>https://cdn.artcharm.md/imagini/butontextura/pal/PAL_W1100_ST9_thumb.jpg</v>
      </c>
      <c r="K20" s="1" t="str">
        <f t="shared" si="2"/>
        <v>https://cdn.artcharm.md/imagini/butontextura/pal/PAL_W1100_ST9_thumb.jpg</v>
      </c>
    </row>
    <row r="21" spans="1:11">
      <c r="A21">
        <v>19</v>
      </c>
      <c r="B21" t="s">
        <v>48</v>
      </c>
      <c r="C21" s="4">
        <v>1</v>
      </c>
      <c r="D21" t="s">
        <v>49</v>
      </c>
      <c r="E21" s="1">
        <v>156</v>
      </c>
      <c r="F21" s="1" t="s">
        <v>14</v>
      </c>
      <c r="G21" t="s">
        <v>37</v>
      </c>
      <c r="H21" s="1" t="str">
        <f t="shared" si="0"/>
        <v>PAL_U156_ST9</v>
      </c>
      <c r="J21" s="1" t="str">
        <f t="shared" ref="J21:J30" si="3">K21</f>
        <v>https://cdn.artcharm.md/imagini/butontextura/pal/PAL_U156_ST9_thumb.jpg</v>
      </c>
      <c r="K21" s="1" t="str">
        <f t="shared" si="2"/>
        <v>https://cdn.artcharm.md/imagini/butontextura/pal/PAL_U156_ST9_thumb.jpg</v>
      </c>
    </row>
    <row r="22" spans="1:11">
      <c r="A22">
        <v>20</v>
      </c>
      <c r="B22" t="s">
        <v>50</v>
      </c>
      <c r="C22" s="4">
        <v>1</v>
      </c>
      <c r="D22" t="s">
        <v>49</v>
      </c>
      <c r="E22" s="1">
        <v>702</v>
      </c>
      <c r="F22" s="1" t="s">
        <v>14</v>
      </c>
      <c r="G22" t="s">
        <v>37</v>
      </c>
      <c r="H22" s="1" t="str">
        <f t="shared" si="0"/>
        <v>PAL_U702_ST9</v>
      </c>
      <c r="J22" s="1" t="str">
        <f t="shared" si="3"/>
        <v>https://cdn.artcharm.md/imagini/butontextura/pal/PAL_U702_ST9_thumb.jpg</v>
      </c>
      <c r="K22" s="1" t="str">
        <f t="shared" si="2"/>
        <v>https://cdn.artcharm.md/imagini/butontextura/pal/PAL_U702_ST9_thumb.jpg</v>
      </c>
    </row>
    <row r="23" spans="1:11">
      <c r="A23">
        <v>21</v>
      </c>
      <c r="B23" t="s">
        <v>51</v>
      </c>
      <c r="C23" s="4">
        <v>1</v>
      </c>
      <c r="D23" t="s">
        <v>49</v>
      </c>
      <c r="E23" s="1">
        <v>727</v>
      </c>
      <c r="F23" s="1" t="s">
        <v>14</v>
      </c>
      <c r="G23" t="s">
        <v>37</v>
      </c>
      <c r="H23" s="1" t="str">
        <f t="shared" si="0"/>
        <v>PAL_U727_ST9</v>
      </c>
      <c r="J23" s="1" t="str">
        <f t="shared" si="3"/>
        <v>https://cdn.artcharm.md/imagini/butontextura/pal/PAL_U727_ST9_thumb.jpg</v>
      </c>
      <c r="K23" s="1" t="str">
        <f t="shared" si="2"/>
        <v>https://cdn.artcharm.md/imagini/butontextura/pal/PAL_U727_ST9_thumb.jpg</v>
      </c>
    </row>
    <row r="24" spans="1:11">
      <c r="A24">
        <v>22</v>
      </c>
      <c r="B24" t="s">
        <v>52</v>
      </c>
      <c r="C24" s="4">
        <v>1</v>
      </c>
      <c r="D24" t="s">
        <v>49</v>
      </c>
      <c r="E24" s="1">
        <v>763</v>
      </c>
      <c r="F24" s="1" t="s">
        <v>14</v>
      </c>
      <c r="G24" t="s">
        <v>37</v>
      </c>
      <c r="H24" s="1" t="str">
        <f t="shared" si="0"/>
        <v>PAL_U763_ST9</v>
      </c>
      <c r="J24" s="1" t="str">
        <f t="shared" si="3"/>
        <v>https://cdn.artcharm.md/imagini/butontextura/pal/PAL_U763_ST9_thumb.jpg</v>
      </c>
      <c r="K24" s="1" t="str">
        <f t="shared" si="2"/>
        <v>https://cdn.artcharm.md/imagini/butontextura/pal/PAL_U763_ST9_thumb.jpg</v>
      </c>
    </row>
    <row r="25" spans="1:11">
      <c r="A25">
        <v>23</v>
      </c>
      <c r="B25" t="s">
        <v>53</v>
      </c>
      <c r="C25" s="4">
        <v>1</v>
      </c>
      <c r="D25" t="s">
        <v>49</v>
      </c>
      <c r="E25" s="1">
        <v>732</v>
      </c>
      <c r="F25" s="1" t="s">
        <v>14</v>
      </c>
      <c r="G25" t="s">
        <v>37</v>
      </c>
      <c r="H25" s="1" t="str">
        <f t="shared" si="0"/>
        <v>PAL_U732_ST9</v>
      </c>
      <c r="J25" s="1" t="str">
        <f t="shared" si="3"/>
        <v>https://cdn.artcharm.md/imagini/butontextura/pal/PAL_U732_ST9_thumb.jpg</v>
      </c>
      <c r="K25" s="1" t="str">
        <f t="shared" si="2"/>
        <v>https://cdn.artcharm.md/imagini/butontextura/pal/PAL_U732_ST9_thumb.jpg</v>
      </c>
    </row>
    <row r="26" spans="1:11">
      <c r="A26">
        <v>24</v>
      </c>
      <c r="B26" t="s">
        <v>54</v>
      </c>
      <c r="C26" s="4">
        <v>1</v>
      </c>
      <c r="D26" t="s">
        <v>49</v>
      </c>
      <c r="E26" s="1">
        <v>960</v>
      </c>
      <c r="F26" s="1" t="s">
        <v>14</v>
      </c>
      <c r="G26" t="s">
        <v>37</v>
      </c>
      <c r="H26" s="1" t="str">
        <f t="shared" si="0"/>
        <v>PAL_U960_ST9</v>
      </c>
      <c r="J26" s="1" t="str">
        <f t="shared" si="3"/>
        <v>https://cdn.artcharm.md/imagini/butontextura/pal/PAL_U960_ST9_thumb.jpg</v>
      </c>
      <c r="K26" s="1" t="str">
        <f t="shared" si="2"/>
        <v>https://cdn.artcharm.md/imagini/butontextura/pal/PAL_U960_ST9_thumb.jpg</v>
      </c>
    </row>
    <row r="27" spans="1:11">
      <c r="A27">
        <v>25</v>
      </c>
      <c r="B27" t="s">
        <v>55</v>
      </c>
      <c r="C27" s="4">
        <v>1</v>
      </c>
      <c r="D27" t="s">
        <v>49</v>
      </c>
      <c r="E27" s="1">
        <v>767</v>
      </c>
      <c r="F27" s="1" t="s">
        <v>14</v>
      </c>
      <c r="G27" t="s">
        <v>37</v>
      </c>
      <c r="H27" s="1" t="str">
        <f t="shared" si="0"/>
        <v>PAL_U767_ST9</v>
      </c>
      <c r="J27" s="1" t="str">
        <f t="shared" si="3"/>
        <v>https://cdn.artcharm.md/imagini/butontextura/pal/PAL_U767_ST9_thumb.jpg</v>
      </c>
      <c r="K27" s="1" t="str">
        <f t="shared" si="2"/>
        <v>https://cdn.artcharm.md/imagini/butontextura/pal/PAL_U767_ST9_thumb.jpg</v>
      </c>
    </row>
    <row r="28" spans="1:11">
      <c r="A28">
        <v>26</v>
      </c>
      <c r="B28" t="s">
        <v>56</v>
      </c>
      <c r="C28" s="4">
        <v>1</v>
      </c>
      <c r="D28" t="s">
        <v>49</v>
      </c>
      <c r="E28" s="1" t="s">
        <v>57</v>
      </c>
      <c r="F28" s="1" t="s">
        <v>14</v>
      </c>
      <c r="G28" t="s">
        <v>37</v>
      </c>
      <c r="H28" s="1" t="str">
        <f t="shared" si="0"/>
        <v>PAL_U636_ST9</v>
      </c>
      <c r="J28" s="1" t="str">
        <f t="shared" si="3"/>
        <v>https://cdn.artcharm.md/imagini/butontextura/pal/PAL_U636_ST9_thumb.jpg</v>
      </c>
      <c r="K28" s="1" t="str">
        <f t="shared" si="2"/>
        <v>https://cdn.artcharm.md/imagini/butontextura/pal/PAL_U636_ST9_thumb.jpg</v>
      </c>
    </row>
    <row r="29" spans="1:11">
      <c r="A29">
        <v>27</v>
      </c>
      <c r="B29" t="s">
        <v>58</v>
      </c>
      <c r="C29" s="4">
        <v>1</v>
      </c>
      <c r="D29" t="s">
        <v>49</v>
      </c>
      <c r="E29" s="1" t="s">
        <v>59</v>
      </c>
      <c r="F29" s="1" t="s">
        <v>14</v>
      </c>
      <c r="G29" t="s">
        <v>37</v>
      </c>
      <c r="H29" s="1" t="str">
        <f t="shared" si="0"/>
        <v>PAL_U780_ST9</v>
      </c>
      <c r="J29" s="1" t="str">
        <f t="shared" si="3"/>
        <v>https://cdn.artcharm.md/imagini/butontextura/pal/PAL_U780_ST9_thumb.jpg</v>
      </c>
      <c r="K29" s="1" t="str">
        <f t="shared" si="2"/>
        <v>https://cdn.artcharm.md/imagini/butontextura/pal/PAL_U780_ST9_thumb.jpg</v>
      </c>
    </row>
    <row r="30" spans="1:11">
      <c r="A30">
        <v>28</v>
      </c>
      <c r="B30" t="s">
        <v>60</v>
      </c>
      <c r="C30" s="4">
        <v>1</v>
      </c>
      <c r="D30" t="s">
        <v>49</v>
      </c>
      <c r="E30" s="1" t="s">
        <v>61</v>
      </c>
      <c r="F30" s="1" t="s">
        <v>14</v>
      </c>
      <c r="G30" t="s">
        <v>37</v>
      </c>
      <c r="H30" s="1" t="str">
        <f t="shared" si="0"/>
        <v>PAL_U325_ST9</v>
      </c>
      <c r="J30" s="1" t="str">
        <f t="shared" si="3"/>
        <v>https://cdn.artcharm.md/imagini/butontextura/pal/PAL_U325_ST9_thumb.jpg</v>
      </c>
      <c r="K30" s="1" t="str">
        <f t="shared" si="2"/>
        <v>https://cdn.artcharm.md/imagini/butontextura/pal/PAL_U325_ST9_thumb.jpg</v>
      </c>
    </row>
    <row r="31" spans="1:11">
      <c r="A31">
        <v>29</v>
      </c>
      <c r="B31" s="1" t="s">
        <v>62</v>
      </c>
      <c r="C31" s="4" t="s">
        <v>63</v>
      </c>
      <c r="D31" t="s">
        <v>64</v>
      </c>
      <c r="H31" s="1" t="str">
        <f t="shared" si="0"/>
        <v>_I_</v>
      </c>
      <c r="J31" s="1" t="str">
        <f>J20</f>
        <v>https://cdn.artcharm.md/imagini/butontextura/pal/PAL_W1100_ST9_thumb.jpg</v>
      </c>
      <c r="K31" s="1" t="str">
        <f>K20</f>
        <v>https://cdn.artcharm.md/imagini/butontextura/pal/PAL_W1100_ST9_thumb.jpg</v>
      </c>
    </row>
    <row r="32" spans="1:11">
      <c r="A32">
        <v>30</v>
      </c>
      <c r="B32" t="s">
        <v>65</v>
      </c>
      <c r="C32" s="4">
        <v>2</v>
      </c>
      <c r="D32" t="s">
        <v>64</v>
      </c>
      <c r="H32" s="1" t="str">
        <f t="shared" si="0"/>
        <v>_I_</v>
      </c>
      <c r="J32" s="1" t="str">
        <f>J24</f>
        <v>https://cdn.artcharm.md/imagini/butontextura/pal/PAL_U763_ST9_thumb.jpg</v>
      </c>
      <c r="K32" s="1" t="str">
        <f>K24</f>
        <v>https://cdn.artcharm.md/imagini/butontextura/pal/PAL_U763_ST9_thumb.jpg</v>
      </c>
    </row>
    <row r="33" spans="1:11">
      <c r="A33">
        <v>31</v>
      </c>
      <c r="B33" t="s">
        <v>66</v>
      </c>
      <c r="C33" s="4">
        <v>2</v>
      </c>
      <c r="D33" t="s">
        <v>64</v>
      </c>
      <c r="H33" s="1" t="str">
        <f t="shared" si="0"/>
        <v>_I_</v>
      </c>
      <c r="J33" s="1" t="str">
        <f>J21</f>
        <v>https://cdn.artcharm.md/imagini/butontextura/pal/PAL_U156_ST9_thumb.jpg</v>
      </c>
      <c r="K33" s="1" t="str">
        <f>K21</f>
        <v>https://cdn.artcharm.md/imagini/butontextura/pal/PAL_U156_ST9_thumb.jpg</v>
      </c>
    </row>
    <row r="34" spans="1:11">
      <c r="A34">
        <v>32</v>
      </c>
      <c r="B34" t="s">
        <v>67</v>
      </c>
      <c r="C34" s="4">
        <v>2</v>
      </c>
      <c r="D34" t="s">
        <v>64</v>
      </c>
      <c r="H34" s="1" t="str">
        <f t="shared" si="0"/>
        <v>_I_</v>
      </c>
      <c r="J34" s="1" t="str">
        <f>K34</f>
        <v>https://cdn.artcharm.md/imagini/butontextura/pal/PAL_U899_ST9_thumb.jpg</v>
      </c>
      <c r="K34" s="1" t="str">
        <f>K35</f>
        <v>https://cdn.artcharm.md/imagini/butontextura/pal/PAL_U899_ST9_thumb.jpg</v>
      </c>
    </row>
    <row r="35" spans="1:11">
      <c r="A35">
        <v>33</v>
      </c>
      <c r="B35" t="s">
        <v>68</v>
      </c>
      <c r="C35" s="4">
        <v>1</v>
      </c>
      <c r="D35" t="s">
        <v>49</v>
      </c>
      <c r="E35">
        <v>899</v>
      </c>
      <c r="F35" s="1" t="s">
        <v>14</v>
      </c>
      <c r="G35" t="s">
        <v>37</v>
      </c>
      <c r="H35" s="1" t="str">
        <f t="shared" si="0"/>
        <v>PAL_U899_ST9</v>
      </c>
      <c r="J35" s="1" t="str">
        <f>K35</f>
        <v>https://cdn.artcharm.md/imagini/butontextura/pal/PAL_U899_ST9_thumb.jpg</v>
      </c>
      <c r="K35" s="1" t="str">
        <f t="shared" si="2"/>
        <v>https://cdn.artcharm.md/imagini/butontextura/pal/PAL_U899_ST9_thumb.jpg</v>
      </c>
    </row>
  </sheetData>
  <hyperlinks>
    <hyperlink ref="I2" r:id="rId1" xr:uid="{3E0C6E92-11D0-4E93-A128-1CA0E71D9477}"/>
    <hyperlink ref="I3" r:id="rId2" xr:uid="{68C7B5E4-95BB-4367-A2FD-873060691C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Nichita Sviridcenko</cp:lastModifiedBy>
  <cp:revision/>
  <dcterms:created xsi:type="dcterms:W3CDTF">2026-03-10T08:38:21Z</dcterms:created>
  <dcterms:modified xsi:type="dcterms:W3CDTF">2026-05-08T08:08:08Z</dcterms:modified>
  <cp:category/>
  <cp:contentStatus/>
</cp:coreProperties>
</file>